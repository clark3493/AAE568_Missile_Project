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ese Robinson\Desktop\Purdue\AAE 568 Applied Optimal Control and Estimation\Project\C DP Program\Local_Comp\A1_B0_45\"/>
    </mc:Choice>
  </mc:AlternateContent>
  <xr:revisionPtr revIDLastSave="0" documentId="12_ncr:500000_{4175C884-685D-4549-B602-3DA768E32FFD}" xr6:coauthVersionLast="31" xr6:coauthVersionMax="31" xr10:uidLastSave="{00000000-0000-0000-0000-000000000000}"/>
  <bookViews>
    <workbookView xWindow="0" yWindow="0" windowWidth="28800" windowHeight="12225" xr2:uid="{4F395193-9C3D-4B85-A6F6-44FF99F4701A}"/>
  </bookViews>
  <sheets>
    <sheet name="Calculator" sheetId="2" r:id="rId1"/>
    <sheet name="Interp_Trial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" i="1" l="1"/>
  <c r="N35" i="1"/>
  <c r="N30" i="1"/>
  <c r="N29" i="1"/>
  <c r="P27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W33" i="1"/>
  <c r="V33" i="1"/>
  <c r="T45" i="1"/>
  <c r="T46" i="1"/>
  <c r="T47" i="1"/>
  <c r="T48" i="1"/>
  <c r="T44" i="1"/>
  <c r="T43" i="1"/>
  <c r="T42" i="1"/>
  <c r="T41" i="1"/>
  <c r="T40" i="1"/>
  <c r="T39" i="1"/>
  <c r="T38" i="1"/>
  <c r="T37" i="1"/>
  <c r="T36" i="1"/>
  <c r="T35" i="1"/>
  <c r="T34" i="1"/>
  <c r="T33" i="1"/>
  <c r="T10" i="1"/>
  <c r="W50" i="1" l="1"/>
  <c r="V50" i="1"/>
  <c r="Y4" i="1"/>
  <c r="Y3" i="1"/>
  <c r="W4" i="1"/>
  <c r="W3" i="1"/>
  <c r="U4" i="1"/>
  <c r="U3" i="1"/>
  <c r="S4" i="1"/>
  <c r="S3" i="1"/>
  <c r="L5" i="1" l="1"/>
  <c r="T12" i="1" l="1"/>
  <c r="T11" i="1"/>
  <c r="T18" i="1"/>
  <c r="T25" i="1"/>
  <c r="T17" i="1"/>
  <c r="T24" i="1"/>
  <c r="T16" i="1"/>
  <c r="T23" i="1"/>
  <c r="T15" i="1"/>
  <c r="T22" i="1"/>
  <c r="T14" i="1"/>
  <c r="T21" i="1"/>
  <c r="T13" i="1"/>
  <c r="T20" i="1"/>
  <c r="T19" i="1"/>
  <c r="W20" i="1" l="1"/>
  <c r="V20" i="1"/>
  <c r="W22" i="1"/>
  <c r="V22" i="1"/>
  <c r="W16" i="1"/>
  <c r="V16" i="1"/>
  <c r="W24" i="1"/>
  <c r="V24" i="1"/>
  <c r="W21" i="1"/>
  <c r="V21" i="1"/>
  <c r="W11" i="1"/>
  <c r="V11" i="1"/>
  <c r="W19" i="1"/>
  <c r="V19" i="1"/>
  <c r="W13" i="1"/>
  <c r="V13" i="1"/>
  <c r="W17" i="1"/>
  <c r="V17" i="1"/>
  <c r="W25" i="1"/>
  <c r="V25" i="1"/>
  <c r="W14" i="1"/>
  <c r="V14" i="1"/>
  <c r="W10" i="1"/>
  <c r="V10" i="1"/>
  <c r="W18" i="1"/>
  <c r="V18" i="1"/>
  <c r="W15" i="1"/>
  <c r="V15" i="1"/>
  <c r="W23" i="1"/>
  <c r="V23" i="1"/>
  <c r="W12" i="1"/>
  <c r="V12" i="1"/>
  <c r="V27" i="1" l="1"/>
  <c r="W27" i="1"/>
</calcChain>
</file>

<file path=xl/sharedStrings.xml><?xml version="1.0" encoding="utf-8"?>
<sst xmlns="http://schemas.openxmlformats.org/spreadsheetml/2006/main" count="115" uniqueCount="95">
  <si>
    <t>Inputs</t>
  </si>
  <si>
    <t>X1</t>
  </si>
  <si>
    <t>Z1</t>
  </si>
  <si>
    <t>X0</t>
  </si>
  <si>
    <t>Xdot0</t>
  </si>
  <si>
    <t>Zdot0</t>
  </si>
  <si>
    <t>Z0</t>
  </si>
  <si>
    <t>Xdot1</t>
  </si>
  <si>
    <t>Zdot1</t>
  </si>
  <si>
    <t>X2</t>
  </si>
  <si>
    <t>Z2</t>
  </si>
  <si>
    <t>Xdot2</t>
  </si>
  <si>
    <t>Zdot2</t>
  </si>
  <si>
    <t>DENOM</t>
  </si>
  <si>
    <t>16 Values</t>
  </si>
  <si>
    <t>Value #</t>
  </si>
  <si>
    <t>X</t>
  </si>
  <si>
    <t>Z</t>
  </si>
  <si>
    <t>Xdot</t>
  </si>
  <si>
    <t>Zdot</t>
  </si>
  <si>
    <t>cost</t>
  </si>
  <si>
    <t>u</t>
  </si>
  <si>
    <t>Na</t>
  </si>
  <si>
    <t>Nb</t>
  </si>
  <si>
    <t>Nc</t>
  </si>
  <si>
    <t>Nd</t>
  </si>
  <si>
    <t>Ne</t>
  </si>
  <si>
    <t>Nf</t>
  </si>
  <si>
    <t>Ng</t>
  </si>
  <si>
    <t>Nh</t>
  </si>
  <si>
    <t>Ni</t>
  </si>
  <si>
    <t>Nj</t>
  </si>
  <si>
    <t>Nk</t>
  </si>
  <si>
    <t>Nl</t>
  </si>
  <si>
    <t>Nm</t>
  </si>
  <si>
    <t>Nn</t>
  </si>
  <si>
    <t>No</t>
  </si>
  <si>
    <t>Np</t>
  </si>
  <si>
    <t>X1-X2</t>
  </si>
  <si>
    <t>X2-X0</t>
  </si>
  <si>
    <t>Z1-Z2</t>
  </si>
  <si>
    <t>Z2-Z0</t>
  </si>
  <si>
    <t>Xdot1-Xdot2</t>
  </si>
  <si>
    <t>Zdot1-Zdot2</t>
  </si>
  <si>
    <t>Zdot2-Zdot0</t>
  </si>
  <si>
    <t>Xdot2-Xdot0</t>
  </si>
  <si>
    <t>Cost Interp.</t>
  </si>
  <si>
    <t>u Interp.</t>
  </si>
  <si>
    <t>Values</t>
  </si>
  <si>
    <t>x0</t>
  </si>
  <si>
    <t>z0</t>
  </si>
  <si>
    <t>xdot0</t>
  </si>
  <si>
    <t>zdot0</t>
  </si>
  <si>
    <t>Initial Conditions</t>
  </si>
  <si>
    <t>tf Possible</t>
  </si>
  <si>
    <t>Cost</t>
  </si>
  <si>
    <t>Input u</t>
  </si>
  <si>
    <t>tau0 Directory Path:</t>
  </si>
  <si>
    <t>File name</t>
  </si>
  <si>
    <t>cost_tf0_tau0.csv</t>
  </si>
  <si>
    <t>cost_tf1_tau0.csv</t>
  </si>
  <si>
    <t>cost_tf2_tau0.csv</t>
  </si>
  <si>
    <t>cost_tf3_tau0.csv</t>
  </si>
  <si>
    <t>cost_tf4_tau0.csv</t>
  </si>
  <si>
    <t>cost_tf5_tau0.csv</t>
  </si>
  <si>
    <t>cost_tf6_tau0.csv</t>
  </si>
  <si>
    <t>cost_tf7_tau0.csv</t>
  </si>
  <si>
    <t>cost_tf8_tau0.csv</t>
  </si>
  <si>
    <t>cost_tf9_tau0.csv</t>
  </si>
  <si>
    <t>cost_tf10_tau0.csv</t>
  </si>
  <si>
    <t>tf0</t>
  </si>
  <si>
    <t>tf1</t>
  </si>
  <si>
    <t>tf2</t>
  </si>
  <si>
    <t>tf3</t>
  </si>
  <si>
    <t>tf4</t>
  </si>
  <si>
    <t>tf5</t>
  </si>
  <si>
    <t>tf6</t>
  </si>
  <si>
    <t>tf7</t>
  </si>
  <si>
    <t>tf8</t>
  </si>
  <si>
    <t>tf9</t>
  </si>
  <si>
    <t>tf10</t>
  </si>
  <si>
    <t>Final X</t>
  </si>
  <si>
    <t>Final Xdot</t>
  </si>
  <si>
    <t>Final Zdot</t>
  </si>
  <si>
    <t>Final Z</t>
  </si>
  <si>
    <t>Impact Angle</t>
  </si>
  <si>
    <t>MAX</t>
  </si>
  <si>
    <t>MIN</t>
  </si>
  <si>
    <t>x</t>
  </si>
  <si>
    <t>z</t>
  </si>
  <si>
    <t>xdot</t>
  </si>
  <si>
    <t>zdot</t>
  </si>
  <si>
    <t>tau</t>
  </si>
  <si>
    <t>tf</t>
  </si>
  <si>
    <t>C:\Users\Reese Robinson\Desktop\Purdue\AAE 568 Applied Optimal Control and Estimation\Project\C DP Program\Local_Comp\A1_B0_45\data\tau0\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</si>
</sst>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2" xfId="0" applyFont="1" applyBorder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0" fillId="0" borderId="1" xfId="0" applyBorder="1"/>
    <xf numFmtId="0" fontId="1" fillId="0" borderId="1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4" xfId="0" applyBorder="1"/>
    <xf numFmtId="0" fontId="0" fillId="0" borderId="10" xfId="0" applyBorder="1"/>
    <xf numFmtId="0" fontId="0" fillId="2" borderId="1" xfId="0" applyFill="1" applyBorder="1"/>
    <xf numFmtId="0" fontId="0" fillId="3" borderId="1" xfId="0" applyFill="1" applyBorder="1"/>
    <xf numFmtId="0" fontId="1" fillId="0" borderId="0" xfId="0" applyFont="1"/>
    <xf numFmtId="0" fontId="1" fillId="0" borderId="0" xfId="0" applyFont="1" applyFill="1" applyBorder="1"/>
    <xf numFmtId="0" fontId="0" fillId="0" borderId="1" xfId="0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Altitude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Altitude+Interp_Trial!$C$42:$C$78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Interp_Trial!$B$42:$B$78</c:f>
              <c:numCache>
                <c:formatCode>General</c:formatCode>
                <c:ptCount val="37"/>
                <c:pt idx="0">
                  <c:v>0</c:v>
                </c:pt>
                <c:pt idx="1">
                  <c:v>15.910842000000001</c:v>
                </c:pt>
                <c:pt idx="2">
                  <c:v>31.876287161823601</c:v>
                </c:pt>
                <c:pt idx="3">
                  <c:v>47.924365453832102</c:v>
                </c:pt>
                <c:pt idx="4">
                  <c:v>64.014226763582201</c:v>
                </c:pt>
                <c:pt idx="5">
                  <c:v>80.148047959194997</c:v>
                </c:pt>
                <c:pt idx="6">
                  <c:v>96.325829040670698</c:v>
                </c:pt>
                <c:pt idx="7">
                  <c:v>112.547570008009</c:v>
                </c:pt>
                <c:pt idx="8">
                  <c:v>128.81327086120999</c:v>
                </c:pt>
                <c:pt idx="9">
                  <c:v>145.12461851489601</c:v>
                </c:pt>
                <c:pt idx="10">
                  <c:v>161.478915477627</c:v>
                </c:pt>
                <c:pt idx="11">
                  <c:v>177.879650509594</c:v>
                </c:pt>
                <c:pt idx="12">
                  <c:v>194.328021222475</c:v>
                </c:pt>
                <c:pt idx="13">
                  <c:v>210.82474717936799</c:v>
                </c:pt>
                <c:pt idx="14">
                  <c:v>227.37470479767401</c:v>
                </c:pt>
                <c:pt idx="15">
                  <c:v>243.98043895126901</c:v>
                </c:pt>
                <c:pt idx="16">
                  <c:v>260.64283791576099</c:v>
                </c:pt>
                <c:pt idx="17">
                  <c:v>277.36178914161798</c:v>
                </c:pt>
                <c:pt idx="18">
                  <c:v>294.14553419013498</c:v>
                </c:pt>
                <c:pt idx="19">
                  <c:v>310.99415149290502</c:v>
                </c:pt>
                <c:pt idx="20">
                  <c:v>327.90800249262298</c:v>
                </c:pt>
                <c:pt idx="21">
                  <c:v>344.89174157096102</c:v>
                </c:pt>
                <c:pt idx="22">
                  <c:v>361.94705034491</c:v>
                </c:pt>
                <c:pt idx="23">
                  <c:v>379.04659689266299</c:v>
                </c:pt>
                <c:pt idx="24">
                  <c:v>396.22052538746499</c:v>
                </c:pt>
                <c:pt idx="25">
                  <c:v>413.50134945546102</c:v>
                </c:pt>
                <c:pt idx="26">
                  <c:v>430.88566349827403</c:v>
                </c:pt>
                <c:pt idx="27">
                  <c:v>448.37084793982802</c:v>
                </c:pt>
                <c:pt idx="28">
                  <c:v>465.95511457653703</c:v>
                </c:pt>
                <c:pt idx="29">
                  <c:v>483.64910850682702</c:v>
                </c:pt>
                <c:pt idx="30">
                  <c:v>501.40901400705701</c:v>
                </c:pt>
                <c:pt idx="31">
                  <c:v>519.22562922289501</c:v>
                </c:pt>
                <c:pt idx="32">
                  <c:v>537.10576728360502</c:v>
                </c:pt>
                <c:pt idx="33">
                  <c:v>555.08610979094203</c:v>
                </c:pt>
                <c:pt idx="34">
                  <c:v>573.16697219434297</c:v>
                </c:pt>
                <c:pt idx="35">
                  <c:v>591.34872676899204</c:v>
                </c:pt>
                <c:pt idx="36">
                  <c:v>609.57826700865701</c:v>
                </c:pt>
              </c:numCache>
            </c:numRef>
          </c:cat>
          <c:val>
            <c:numRef>
              <c:f>Interp_Trial!$C$42:$C$78</c:f>
              <c:numCache>
                <c:formatCode>General</c:formatCode>
                <c:ptCount val="37"/>
                <c:pt idx="0">
                  <c:v>-2001</c:v>
                </c:pt>
                <c:pt idx="1">
                  <c:v>-2001</c:v>
                </c:pt>
                <c:pt idx="2">
                  <c:v>-2000.50445898463</c:v>
                </c:pt>
                <c:pt idx="3">
                  <c:v>-1999.52128414404</c:v>
                </c:pt>
                <c:pt idx="4">
                  <c:v>-1998.0400813955901</c:v>
                </c:pt>
                <c:pt idx="5">
                  <c:v>-1996.06122479548</c:v>
                </c:pt>
                <c:pt idx="6">
                  <c:v>-1993.5847143436999</c:v>
                </c:pt>
                <c:pt idx="7">
                  <c:v>-1990.61055004026</c:v>
                </c:pt>
                <c:pt idx="8">
                  <c:v>-1987.13873188515</c:v>
                </c:pt>
                <c:pt idx="9">
                  <c:v>-1983.1695632186199</c:v>
                </c:pt>
                <c:pt idx="10">
                  <c:v>-1978.7025646188399</c:v>
                </c:pt>
                <c:pt idx="11">
                  <c:v>-1973.7383618603899</c:v>
                </c:pt>
                <c:pt idx="12">
                  <c:v>-1968.2771814068701</c:v>
                </c:pt>
                <c:pt idx="13">
                  <c:v>-1962.3191621998301</c:v>
                </c:pt>
                <c:pt idx="14">
                  <c:v>-1955.8653030120499</c:v>
                </c:pt>
                <c:pt idx="15">
                  <c:v>-1948.9161649192899</c:v>
                </c:pt>
                <c:pt idx="16">
                  <c:v>-1941.4719502425301</c:v>
                </c:pt>
                <c:pt idx="17">
                  <c:v>-1933.5326331604599</c:v>
                </c:pt>
                <c:pt idx="18">
                  <c:v>-1925.1002485087599</c:v>
                </c:pt>
                <c:pt idx="19">
                  <c:v>-1916.1748170667699</c:v>
                </c:pt>
                <c:pt idx="20">
                  <c:v>-1906.7564349414099</c:v>
                </c:pt>
                <c:pt idx="21">
                  <c:v>-1896.8463910839</c:v>
                </c:pt>
                <c:pt idx="22">
                  <c:v>-1886.44517480948</c:v>
                </c:pt>
                <c:pt idx="23">
                  <c:v>-1875.54635384226</c:v>
                </c:pt>
                <c:pt idx="24">
                  <c:v>-1864.15720708703</c:v>
                </c:pt>
                <c:pt idx="25">
                  <c:v>-1852.29023610945</c:v>
                </c:pt>
                <c:pt idx="26">
                  <c:v>-1839.94388506522</c:v>
                </c:pt>
                <c:pt idx="27">
                  <c:v>-1827.11699828163</c:v>
                </c:pt>
                <c:pt idx="28">
                  <c:v>-1813.8088070695701</c:v>
                </c:pt>
                <c:pt idx="29">
                  <c:v>-1800.0241320878099</c:v>
                </c:pt>
                <c:pt idx="30">
                  <c:v>-1785.74668821091</c:v>
                </c:pt>
                <c:pt idx="31">
                  <c:v>-1770.97417806719</c:v>
                </c:pt>
                <c:pt idx="32">
                  <c:v>-1755.70826737123</c:v>
                </c:pt>
                <c:pt idx="33">
                  <c:v>-1739.9615327608701</c:v>
                </c:pt>
                <c:pt idx="34">
                  <c:v>-1723.73411045692</c:v>
                </c:pt>
                <c:pt idx="35">
                  <c:v>-1707.0261618734201</c:v>
                </c:pt>
                <c:pt idx="36">
                  <c:v>-1689.8212643772999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81-447F-97B3-7353A711F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7940088"/>
        <c:axId val="637940416"/>
      </c:lineChart>
      <c:catAx>
        <c:axId val="637940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940416"/>
        <c:crosses val="autoZero"/>
        <c:auto val="1"/>
        <c:lblAlgn val="ctr"/>
        <c:lblOffset val="100"/>
        <c:noMultiLvlLbl val="0"/>
      </c:catAx>
      <c:valAx>
        <c:axId val="6379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940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2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Minimum Cost &amp; Initial Input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39</xdr:row>
      <xdr:rowOff>61912</xdr:rowOff>
    </xdr:from>
    <xdr:to>
      <xdr:col>12</xdr:col>
      <xdr:colOff>276225</xdr:colOff>
      <xdr:row>53</xdr:row>
      <xdr:rowOff>138112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A050-0D7C-4A2A-B9F0-0A1BA1988ED5}">
  <sheetPr codeName="Sheet1"/>
  <dimension ref="A1:AK71"/>
  <sheetViews>
    <sheetView tabSelected="1" workbookViewId="0">
      <selection activeCell="L4" sqref="L4"/>
    </sheetView>
  </sheetViews>
  <sheetFormatPr defaultRowHeight="15" x14ac:dyDescent="0.25"/>
  <cols>
    <col min="2" max="2" width="16.28515625" bestFit="1" customWidth="1"/>
    <col min="3" max="3" width="17.42578125" bestFit="1" customWidth="1"/>
    <col min="4" max="4" width="12" bestFit="1" customWidth="1"/>
    <col min="9" max="10" width="11" bestFit="1" customWidth="1"/>
    <col min="11" max="11" width="12.5703125" bestFit="1" customWidth="1"/>
    <col min="12" max="12" width="11" bestFit="1" customWidth="1"/>
    <col min="15" max="15" width="11" bestFit="1" customWidth="1"/>
    <col min="19" max="19" width="11" bestFit="1" customWidth="1"/>
    <col min="22" max="22" width="9.140625" customWidth="1"/>
  </cols>
  <sheetData>
    <row r="1" spans="1:24" x14ac:dyDescent="0.25">
      <c r="H1" s="18" t="s">
        <v>57</v>
      </c>
      <c r="I1" s="18"/>
      <c r="J1" s="21" t="s">
        <v>94</v>
      </c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</row>
    <row r="2" spans="1:24" x14ac:dyDescent="0.25">
      <c r="B2" s="19" t="s">
        <v>53</v>
      </c>
      <c r="C2" s="20"/>
    </row>
    <row r="3" spans="1:24" x14ac:dyDescent="0.25">
      <c r="B3" s="5" t="s">
        <v>49</v>
      </c>
      <c r="C3" s="14">
        <v>0</v>
      </c>
    </row>
    <row r="4" spans="1:24" x14ac:dyDescent="0.25">
      <c r="B4" s="5" t="s">
        <v>50</v>
      </c>
      <c r="C4" s="14">
        <v>-2001</v>
      </c>
    </row>
    <row r="5" spans="1:24" x14ac:dyDescent="0.25">
      <c r="B5" s="5" t="s">
        <v>51</v>
      </c>
      <c r="C5" s="14">
        <v>100</v>
      </c>
    </row>
    <row r="6" spans="1:24" x14ac:dyDescent="0.25">
      <c r="B6" s="5" t="s">
        <v>52</v>
      </c>
      <c r="C6" s="14">
        <v>0</v>
      </c>
    </row>
    <row r="9" spans="1:24" x14ac:dyDescent="0.25">
      <c r="B9" s="6" t="s">
        <v>54</v>
      </c>
      <c r="C9" s="6" t="s">
        <v>58</v>
      </c>
      <c r="D9" s="6" t="s">
        <v>55</v>
      </c>
      <c r="E9" s="6" t="s">
        <v>56</v>
      </c>
      <c r="G9" s="16" t="s">
        <v>81</v>
      </c>
      <c r="H9" s="16" t="s">
        <v>84</v>
      </c>
      <c r="I9" s="17" t="s">
        <v>82</v>
      </c>
      <c r="J9" s="17" t="s">
        <v>83</v>
      </c>
      <c r="K9" s="17" t="s">
        <v>85</v>
      </c>
    </row>
    <row r="10" spans="1:24" x14ac:dyDescent="0.25">
      <c r="A10" t="s">
        <v>70</v>
      </c>
      <c r="B10" s="5">
        <v>10.607227999999999</v>
      </c>
      <c r="C10" s="5" t="s">
        <v>59</v>
      </c>
      <c r="D10" s="15"/>
      <c r="E10" s="15"/>
    </row>
    <row r="11" spans="1:24" x14ac:dyDescent="0.25">
      <c r="A11" t="s">
        <v>71</v>
      </c>
      <c r="B11" s="5">
        <v>12.3751</v>
      </c>
      <c r="C11" s="5" t="s">
        <v>60</v>
      </c>
      <c r="D11" s="15"/>
      <c r="E11" s="15"/>
    </row>
    <row r="12" spans="1:24" x14ac:dyDescent="0.25">
      <c r="A12" t="s">
        <v>72</v>
      </c>
      <c r="B12" s="5">
        <v>14.142970999999999</v>
      </c>
      <c r="C12" s="5" t="s">
        <v>61</v>
      </c>
      <c r="D12" s="15"/>
      <c r="E12" s="15"/>
    </row>
    <row r="13" spans="1:24" x14ac:dyDescent="0.25">
      <c r="A13" t="s">
        <v>73</v>
      </c>
      <c r="B13" s="5">
        <v>15.910842000000001</v>
      </c>
      <c r="C13" s="5" t="s">
        <v>62</v>
      </c>
      <c r="D13" s="15"/>
      <c r="E13" s="15"/>
    </row>
    <row r="14" spans="1:24" x14ac:dyDescent="0.25">
      <c r="A14" t="s">
        <v>74</v>
      </c>
      <c r="B14" s="5">
        <v>17.678713999999999</v>
      </c>
      <c r="C14" s="5" t="s">
        <v>63</v>
      </c>
      <c r="D14" s="15"/>
      <c r="E14" s="15"/>
    </row>
    <row r="15" spans="1:24" x14ac:dyDescent="0.25">
      <c r="A15" t="s">
        <v>75</v>
      </c>
      <c r="B15" s="5">
        <v>19.446584999999999</v>
      </c>
      <c r="C15" s="5" t="s">
        <v>64</v>
      </c>
      <c r="D15" s="15"/>
      <c r="E15" s="15"/>
    </row>
    <row r="16" spans="1:24" x14ac:dyDescent="0.25">
      <c r="A16" t="s">
        <v>76</v>
      </c>
      <c r="B16" s="5">
        <v>21.214455999999998</v>
      </c>
      <c r="C16" s="5" t="s">
        <v>65</v>
      </c>
      <c r="D16" s="15"/>
      <c r="E16" s="15"/>
    </row>
    <row r="17" spans="1:37" x14ac:dyDescent="0.25">
      <c r="A17" t="s">
        <v>77</v>
      </c>
      <c r="B17" s="5">
        <v>22.982327999999999</v>
      </c>
      <c r="C17" s="5" t="s">
        <v>66</v>
      </c>
      <c r="D17" s="15"/>
      <c r="E17" s="15"/>
    </row>
    <row r="18" spans="1:37" x14ac:dyDescent="0.25">
      <c r="A18" t="s">
        <v>78</v>
      </c>
      <c r="B18" s="5">
        <v>24.750198999999999</v>
      </c>
      <c r="C18" s="5" t="s">
        <v>67</v>
      </c>
      <c r="D18" s="15"/>
      <c r="E18" s="15"/>
    </row>
    <row r="19" spans="1:37" x14ac:dyDescent="0.25">
      <c r="A19" t="s">
        <v>79</v>
      </c>
      <c r="B19" s="5">
        <v>26.518070000000002</v>
      </c>
      <c r="C19" s="5" t="s">
        <v>68</v>
      </c>
      <c r="D19" s="15"/>
      <c r="E19" s="15"/>
    </row>
    <row r="20" spans="1:37" x14ac:dyDescent="0.25">
      <c r="A20" t="s">
        <v>80</v>
      </c>
      <c r="B20" s="5">
        <v>28.285941999999999</v>
      </c>
      <c r="C20" s="5" t="s">
        <v>69</v>
      </c>
      <c r="D20" s="15"/>
      <c r="E20" s="15"/>
    </row>
    <row r="25" spans="1:37" x14ac:dyDescent="0.25">
      <c r="B25" s="5" t="s">
        <v>88</v>
      </c>
      <c r="C25" s="5">
        <v>-100</v>
      </c>
      <c r="D25" s="5">
        <v>5.8823530000000002</v>
      </c>
      <c r="E25" s="5">
        <v>111.764706</v>
      </c>
      <c r="F25" s="5">
        <v>217.64705900000001</v>
      </c>
      <c r="G25" s="5">
        <v>323.52941199999998</v>
      </c>
      <c r="H25" s="5">
        <v>429.411765</v>
      </c>
      <c r="I25" s="5">
        <v>535.29411800000003</v>
      </c>
      <c r="J25" s="5">
        <v>641.17647099999999</v>
      </c>
      <c r="K25" s="5">
        <v>747.05882399999996</v>
      </c>
      <c r="L25" s="5">
        <v>852.94117600000004</v>
      </c>
      <c r="M25" s="5">
        <v>958.82352900000001</v>
      </c>
      <c r="N25" s="5">
        <v>1064.705882</v>
      </c>
      <c r="O25" s="5">
        <v>1170.5882349999999</v>
      </c>
      <c r="P25" s="5">
        <v>1276.4705879999999</v>
      </c>
      <c r="Q25" s="5">
        <v>1382.3529410000001</v>
      </c>
      <c r="R25" s="5">
        <v>1488.2352940000001</v>
      </c>
      <c r="S25" s="5">
        <v>1594.117647</v>
      </c>
      <c r="T25" s="5">
        <v>1700</v>
      </c>
      <c r="U25" s="5">
        <v>1805.882353</v>
      </c>
      <c r="V25" s="5">
        <v>1911.7647059999999</v>
      </c>
      <c r="W25" s="5">
        <v>2017.6470589999999</v>
      </c>
      <c r="X25" s="5">
        <v>2123.5294119999999</v>
      </c>
      <c r="Y25" s="5">
        <v>2229.4117649999998</v>
      </c>
      <c r="Z25" s="5">
        <v>2335.2941179999998</v>
      </c>
      <c r="AA25" s="5">
        <v>2441.1764710000002</v>
      </c>
      <c r="AB25" s="5">
        <v>2547.0588240000002</v>
      </c>
      <c r="AC25" s="5">
        <v>2652.9411759999998</v>
      </c>
      <c r="AD25" s="5">
        <v>2758.8235289999998</v>
      </c>
      <c r="AE25" s="5">
        <v>2864.7058820000002</v>
      </c>
      <c r="AF25" s="5">
        <v>2970.5882350000002</v>
      </c>
      <c r="AG25" s="5">
        <v>3076.4705880000001</v>
      </c>
      <c r="AH25" s="5">
        <v>3182.3529410000001</v>
      </c>
      <c r="AI25" s="5">
        <v>3288.2352940000001</v>
      </c>
      <c r="AJ25" s="5">
        <v>3394.117647</v>
      </c>
      <c r="AK25" s="5">
        <v>3500</v>
      </c>
    </row>
    <row r="26" spans="1:37" x14ac:dyDescent="0.25">
      <c r="B26" s="5" t="s">
        <v>89</v>
      </c>
      <c r="C26" s="5">
        <v>-2101</v>
      </c>
      <c r="D26" s="5">
        <v>-1995.117647</v>
      </c>
      <c r="E26" s="5">
        <v>-1889.2352940000001</v>
      </c>
      <c r="F26" s="5">
        <v>-1783.3529410000001</v>
      </c>
      <c r="G26" s="5">
        <v>-1677.4705879999999</v>
      </c>
      <c r="H26" s="5">
        <v>-1571.5882349999999</v>
      </c>
      <c r="I26" s="5">
        <v>-1465.705882</v>
      </c>
      <c r="J26" s="5">
        <v>-1359.823529</v>
      </c>
      <c r="K26" s="5">
        <v>-1253.941176</v>
      </c>
      <c r="L26" s="5">
        <v>-1148.058824</v>
      </c>
      <c r="M26" s="5">
        <v>-1042.176471</v>
      </c>
      <c r="N26" s="5">
        <v>-936.29411800000003</v>
      </c>
      <c r="O26" s="5">
        <v>-830.41176499999995</v>
      </c>
      <c r="P26" s="5">
        <v>-724.52941199999998</v>
      </c>
      <c r="Q26" s="5">
        <v>-618.64705900000001</v>
      </c>
      <c r="R26" s="5">
        <v>-512.76470600000005</v>
      </c>
      <c r="S26" s="5">
        <v>-406.88235300000002</v>
      </c>
      <c r="T26" s="5">
        <v>-301</v>
      </c>
      <c r="U26" s="5">
        <v>-195.11764700000001</v>
      </c>
      <c r="V26" s="5">
        <v>-89.235293999999996</v>
      </c>
      <c r="W26" s="5">
        <v>16.647058999999999</v>
      </c>
      <c r="X26" s="5">
        <v>122.52941199999999</v>
      </c>
      <c r="Y26" s="5">
        <v>228.411765</v>
      </c>
      <c r="Z26" s="5">
        <v>334.29411800000003</v>
      </c>
      <c r="AA26" s="5">
        <v>440.17647099999999</v>
      </c>
      <c r="AB26" s="5">
        <v>546.05882399999996</v>
      </c>
      <c r="AC26" s="5">
        <v>651.94117600000004</v>
      </c>
      <c r="AD26" s="5">
        <v>757.82352900000001</v>
      </c>
      <c r="AE26" s="5">
        <v>863.70588199999997</v>
      </c>
      <c r="AF26" s="5">
        <v>969.58823500000005</v>
      </c>
      <c r="AG26" s="5">
        <v>1075.4705879999999</v>
      </c>
      <c r="AH26" s="5">
        <v>1181.3529410000001</v>
      </c>
      <c r="AI26" s="5">
        <v>1287.2352940000001</v>
      </c>
      <c r="AJ26" s="5">
        <v>1393.117647</v>
      </c>
      <c r="AK26" s="5">
        <v>1499</v>
      </c>
    </row>
    <row r="27" spans="1:37" x14ac:dyDescent="0.25">
      <c r="B27" s="5" t="s">
        <v>90</v>
      </c>
      <c r="C27" s="5">
        <v>75</v>
      </c>
      <c r="D27" s="5">
        <v>87.158649999999994</v>
      </c>
      <c r="E27" s="5">
        <v>99.317300000000003</v>
      </c>
      <c r="F27" s="5">
        <v>111.475949</v>
      </c>
      <c r="G27" s="5">
        <v>123.63459899999999</v>
      </c>
      <c r="H27" s="5">
        <v>135.793249</v>
      </c>
      <c r="I27" s="5">
        <v>147.951899</v>
      </c>
      <c r="J27" s="5">
        <v>160.11054799999999</v>
      </c>
      <c r="K27" s="5">
        <v>172.26919799999999</v>
      </c>
      <c r="L27" s="5">
        <v>184.42784800000001</v>
      </c>
      <c r="M27" s="5">
        <v>196.58649800000001</v>
      </c>
      <c r="N27" s="5">
        <v>208.745148</v>
      </c>
      <c r="O27" s="5">
        <v>220.903797</v>
      </c>
      <c r="P27" s="5">
        <v>233.06244699999999</v>
      </c>
      <c r="Q27" s="5">
        <v>245.22109699999999</v>
      </c>
      <c r="R27" s="5">
        <v>257.37974700000001</v>
      </c>
      <c r="S27" s="5">
        <v>269.53839599999998</v>
      </c>
      <c r="T27" s="5">
        <v>281.697046</v>
      </c>
      <c r="U27" s="5">
        <v>293.85569600000002</v>
      </c>
      <c r="V27" s="5">
        <v>306.01434599999999</v>
      </c>
      <c r="W27" s="5">
        <v>318.17299600000001</v>
      </c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</row>
    <row r="28" spans="1:37" x14ac:dyDescent="0.25">
      <c r="B28" s="5" t="s">
        <v>91</v>
      </c>
      <c r="C28" s="5">
        <v>-100</v>
      </c>
      <c r="D28" s="5">
        <v>-79.091350000000006</v>
      </c>
      <c r="E28" s="5">
        <v>-58.182699999999997</v>
      </c>
      <c r="F28" s="5">
        <v>-37.274051</v>
      </c>
      <c r="G28" s="5">
        <v>-16.365400999999999</v>
      </c>
      <c r="H28" s="5">
        <v>4.5432490000000003</v>
      </c>
      <c r="I28" s="5">
        <v>25.451899000000001</v>
      </c>
      <c r="J28" s="5">
        <v>46.360548000000001</v>
      </c>
      <c r="K28" s="5">
        <v>67.269198000000003</v>
      </c>
      <c r="L28" s="5">
        <v>88.177847999999997</v>
      </c>
      <c r="M28" s="5">
        <v>109.08649800000001</v>
      </c>
      <c r="N28" s="5">
        <v>129.995148</v>
      </c>
      <c r="O28" s="5">
        <v>150.903797</v>
      </c>
      <c r="P28" s="5">
        <v>171.81244699999999</v>
      </c>
      <c r="Q28" s="5">
        <v>192.72109699999999</v>
      </c>
      <c r="R28" s="5">
        <v>213.62974700000001</v>
      </c>
      <c r="S28" s="5">
        <v>234.53839600000001</v>
      </c>
      <c r="T28" s="5">
        <v>255.447046</v>
      </c>
      <c r="U28" s="5">
        <v>276.35569600000002</v>
      </c>
      <c r="V28" s="5">
        <v>297.26434599999999</v>
      </c>
      <c r="W28" s="5">
        <v>318.17299600000001</v>
      </c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</row>
    <row r="29" spans="1:37" x14ac:dyDescent="0.25">
      <c r="B29" s="5" t="s">
        <v>21</v>
      </c>
      <c r="C29" s="5">
        <v>-90</v>
      </c>
      <c r="D29" s="5">
        <v>-80</v>
      </c>
      <c r="E29" s="5">
        <v>-70</v>
      </c>
      <c r="F29" s="5">
        <v>-60</v>
      </c>
      <c r="G29" s="5">
        <v>-50</v>
      </c>
      <c r="H29" s="5">
        <v>-40</v>
      </c>
      <c r="I29" s="5">
        <v>-30</v>
      </c>
      <c r="J29" s="5">
        <v>-20</v>
      </c>
      <c r="K29" s="5">
        <v>-10</v>
      </c>
      <c r="L29" s="5">
        <v>0</v>
      </c>
      <c r="M29" s="5">
        <v>10</v>
      </c>
      <c r="N29" s="5">
        <v>20</v>
      </c>
      <c r="O29" s="5">
        <v>30</v>
      </c>
      <c r="P29" s="5">
        <v>40</v>
      </c>
      <c r="Q29" s="5">
        <v>50</v>
      </c>
      <c r="R29" s="5">
        <v>60</v>
      </c>
      <c r="S29" s="5">
        <v>70</v>
      </c>
      <c r="T29" s="5">
        <v>80</v>
      </c>
      <c r="U29" s="5">
        <v>90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</row>
    <row r="30" spans="1:37" x14ac:dyDescent="0.25">
      <c r="B30" s="5" t="s">
        <v>92</v>
      </c>
      <c r="C30" s="5">
        <v>0</v>
      </c>
      <c r="D30" s="5">
        <v>0.01</v>
      </c>
      <c r="E30" s="5">
        <v>0.02</v>
      </c>
      <c r="F30" s="5">
        <v>0.03</v>
      </c>
      <c r="G30" s="5">
        <v>0.04</v>
      </c>
      <c r="H30" s="5">
        <v>0.05</v>
      </c>
      <c r="I30" s="5">
        <v>0.06</v>
      </c>
      <c r="J30" s="5">
        <v>7.0000000000000007E-2</v>
      </c>
      <c r="K30" s="5">
        <v>0.08</v>
      </c>
      <c r="L30" s="5">
        <v>0.09</v>
      </c>
      <c r="M30" s="5">
        <v>0.1</v>
      </c>
      <c r="N30" s="5">
        <v>0.11</v>
      </c>
      <c r="O30" s="5">
        <v>0.12</v>
      </c>
      <c r="P30" s="5">
        <v>0.13</v>
      </c>
      <c r="Q30" s="5">
        <v>0.14000000000000001</v>
      </c>
      <c r="R30" s="5">
        <v>0.15</v>
      </c>
      <c r="S30" s="5">
        <v>0.16</v>
      </c>
      <c r="T30" s="5">
        <v>0.17</v>
      </c>
      <c r="U30" s="5">
        <v>0.18</v>
      </c>
      <c r="V30" s="5">
        <v>0.19</v>
      </c>
      <c r="W30" s="5">
        <v>0.2</v>
      </c>
      <c r="X30" s="5">
        <v>0.21</v>
      </c>
      <c r="Y30" s="5">
        <v>0.22</v>
      </c>
      <c r="Z30" s="5">
        <v>0.23</v>
      </c>
      <c r="AA30" s="5">
        <v>0.24</v>
      </c>
      <c r="AB30" s="5">
        <v>0.25</v>
      </c>
      <c r="AC30" s="5">
        <v>0.26</v>
      </c>
      <c r="AD30" s="5">
        <v>0.27</v>
      </c>
      <c r="AE30" s="5">
        <v>0.28000000000000003</v>
      </c>
      <c r="AF30" s="5">
        <v>0.28999999999999998</v>
      </c>
      <c r="AG30" s="5">
        <v>0.3</v>
      </c>
      <c r="AH30" s="5">
        <v>0.31</v>
      </c>
      <c r="AI30" s="5">
        <v>0.32</v>
      </c>
      <c r="AJ30" s="5">
        <v>0.33</v>
      </c>
      <c r="AK30" s="5">
        <v>0.34</v>
      </c>
    </row>
    <row r="31" spans="1:37" x14ac:dyDescent="0.25">
      <c r="B31" s="5" t="s">
        <v>93</v>
      </c>
      <c r="C31" s="5">
        <v>10.607227999999999</v>
      </c>
      <c r="D31" s="5">
        <v>12.3751</v>
      </c>
      <c r="E31" s="5">
        <v>14.142970999999999</v>
      </c>
      <c r="F31" s="5">
        <v>15.910842000000001</v>
      </c>
      <c r="G31" s="5">
        <v>17.678713999999999</v>
      </c>
      <c r="H31" s="5">
        <v>19.446584999999999</v>
      </c>
      <c r="I31" s="5">
        <v>21.214455999999998</v>
      </c>
      <c r="J31" s="5">
        <v>22.982327999999999</v>
      </c>
      <c r="K31" s="5">
        <v>24.750198999999999</v>
      </c>
      <c r="L31" s="5">
        <v>26.518070000000002</v>
      </c>
      <c r="M31" s="5">
        <v>28.285941999999999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</row>
    <row r="37" spans="1:4" x14ac:dyDescent="0.25">
      <c r="A37">
        <v>1</v>
      </c>
      <c r="B37" s="5">
        <v>-100</v>
      </c>
      <c r="D37" s="5">
        <v>75</v>
      </c>
    </row>
    <row r="38" spans="1:4" x14ac:dyDescent="0.25">
      <c r="A38">
        <v>2</v>
      </c>
      <c r="B38" s="5">
        <v>5.8823530000000002</v>
      </c>
      <c r="D38" s="5">
        <v>87.158649999999994</v>
      </c>
    </row>
    <row r="39" spans="1:4" x14ac:dyDescent="0.25">
      <c r="A39">
        <v>3</v>
      </c>
      <c r="B39" s="5">
        <v>111.764706</v>
      </c>
      <c r="D39" s="5">
        <v>99.317300000000003</v>
      </c>
    </row>
    <row r="40" spans="1:4" x14ac:dyDescent="0.25">
      <c r="A40">
        <v>4</v>
      </c>
      <c r="B40" s="5">
        <v>217.64705900000001</v>
      </c>
      <c r="D40" s="5">
        <v>111.475949</v>
      </c>
    </row>
    <row r="41" spans="1:4" x14ac:dyDescent="0.25">
      <c r="A41">
        <v>5</v>
      </c>
      <c r="B41" s="5">
        <v>323.52941199999998</v>
      </c>
      <c r="D41" s="5">
        <v>123.63459899999999</v>
      </c>
    </row>
    <row r="42" spans="1:4" x14ac:dyDescent="0.25">
      <c r="A42">
        <v>6</v>
      </c>
      <c r="B42" s="5">
        <v>429.411765</v>
      </c>
      <c r="D42" s="5">
        <v>135.793249</v>
      </c>
    </row>
    <row r="43" spans="1:4" x14ac:dyDescent="0.25">
      <c r="A43">
        <v>7</v>
      </c>
      <c r="B43" s="5">
        <v>535.29411800000003</v>
      </c>
      <c r="D43" s="5">
        <v>147.951899</v>
      </c>
    </row>
    <row r="44" spans="1:4" x14ac:dyDescent="0.25">
      <c r="A44">
        <v>8</v>
      </c>
      <c r="B44" s="5">
        <v>641.17647099999999</v>
      </c>
      <c r="D44" s="5">
        <v>160.11054799999999</v>
      </c>
    </row>
    <row r="45" spans="1:4" x14ac:dyDescent="0.25">
      <c r="A45">
        <v>9</v>
      </c>
      <c r="B45" s="5">
        <v>747.05882399999996</v>
      </c>
      <c r="D45" s="5">
        <v>172.26919799999999</v>
      </c>
    </row>
    <row r="46" spans="1:4" x14ac:dyDescent="0.25">
      <c r="A46">
        <v>10</v>
      </c>
      <c r="B46" s="5">
        <v>852.94117600000004</v>
      </c>
      <c r="D46" s="5">
        <v>184.42784800000001</v>
      </c>
    </row>
    <row r="47" spans="1:4" x14ac:dyDescent="0.25">
      <c r="A47">
        <v>11</v>
      </c>
      <c r="B47" s="5">
        <v>958.82352900000001</v>
      </c>
      <c r="D47" s="5">
        <v>196.58649800000001</v>
      </c>
    </row>
    <row r="48" spans="1:4" x14ac:dyDescent="0.25">
      <c r="A48">
        <v>12</v>
      </c>
      <c r="B48" s="5">
        <v>1064.705882</v>
      </c>
      <c r="D48" s="5">
        <v>208.745148</v>
      </c>
    </row>
    <row r="49" spans="1:4" x14ac:dyDescent="0.25">
      <c r="A49">
        <v>13</v>
      </c>
      <c r="B49" s="5">
        <v>1170.5882349999999</v>
      </c>
      <c r="D49" s="5">
        <v>220.903797</v>
      </c>
    </row>
    <row r="50" spans="1:4" x14ac:dyDescent="0.25">
      <c r="A50">
        <v>14</v>
      </c>
      <c r="B50" s="5">
        <v>1276.4705879999999</v>
      </c>
      <c r="D50" s="5">
        <v>233.06244699999999</v>
      </c>
    </row>
    <row r="51" spans="1:4" x14ac:dyDescent="0.25">
      <c r="A51">
        <v>15</v>
      </c>
      <c r="B51" s="5">
        <v>1382.3529410000001</v>
      </c>
      <c r="D51" s="5">
        <v>245.22109699999999</v>
      </c>
    </row>
    <row r="52" spans="1:4" x14ac:dyDescent="0.25">
      <c r="A52">
        <v>16</v>
      </c>
      <c r="B52" s="5">
        <v>1488.2352940000001</v>
      </c>
      <c r="D52" s="5">
        <v>257.37974700000001</v>
      </c>
    </row>
    <row r="53" spans="1:4" x14ac:dyDescent="0.25">
      <c r="A53">
        <v>17</v>
      </c>
      <c r="B53" s="5">
        <v>1594.117647</v>
      </c>
      <c r="D53" s="5">
        <v>269.53839599999998</v>
      </c>
    </row>
    <row r="54" spans="1:4" x14ac:dyDescent="0.25">
      <c r="A54">
        <v>18</v>
      </c>
      <c r="B54" s="5">
        <v>1700</v>
      </c>
      <c r="D54" s="5">
        <v>281.697046</v>
      </c>
    </row>
    <row r="55" spans="1:4" x14ac:dyDescent="0.25">
      <c r="A55">
        <v>19</v>
      </c>
      <c r="B55" s="5">
        <v>1805.882353</v>
      </c>
      <c r="D55" s="5">
        <v>293.85569600000002</v>
      </c>
    </row>
    <row r="56" spans="1:4" x14ac:dyDescent="0.25">
      <c r="A56">
        <v>20</v>
      </c>
      <c r="B56" s="5">
        <v>1911.7647059999999</v>
      </c>
      <c r="D56" s="5">
        <v>306.01434599999999</v>
      </c>
    </row>
    <row r="57" spans="1:4" x14ac:dyDescent="0.25">
      <c r="A57">
        <v>21</v>
      </c>
      <c r="B57" s="5">
        <v>2017.6470589999999</v>
      </c>
      <c r="D57" s="5">
        <v>318.17299600000001</v>
      </c>
    </row>
    <row r="58" spans="1:4" x14ac:dyDescent="0.25">
      <c r="A58">
        <v>22</v>
      </c>
      <c r="B58" s="5">
        <v>2123.5294119999999</v>
      </c>
    </row>
    <row r="59" spans="1:4" x14ac:dyDescent="0.25">
      <c r="A59">
        <v>23</v>
      </c>
      <c r="B59" s="5">
        <v>2229.4117649999998</v>
      </c>
    </row>
    <row r="60" spans="1:4" x14ac:dyDescent="0.25">
      <c r="A60">
        <v>24</v>
      </c>
      <c r="B60" s="5">
        <v>2335.2941179999998</v>
      </c>
    </row>
    <row r="61" spans="1:4" x14ac:dyDescent="0.25">
      <c r="A61">
        <v>25</v>
      </c>
      <c r="B61" s="5">
        <v>2441.1764710000002</v>
      </c>
    </row>
    <row r="62" spans="1:4" x14ac:dyDescent="0.25">
      <c r="A62">
        <v>26</v>
      </c>
      <c r="B62" s="5">
        <v>2547.0588240000002</v>
      </c>
    </row>
    <row r="63" spans="1:4" x14ac:dyDescent="0.25">
      <c r="A63">
        <v>27</v>
      </c>
      <c r="B63" s="5">
        <v>2652.9411759999998</v>
      </c>
    </row>
    <row r="64" spans="1:4" x14ac:dyDescent="0.25">
      <c r="A64">
        <v>28</v>
      </c>
      <c r="B64" s="5">
        <v>2758.8235289999998</v>
      </c>
    </row>
    <row r="65" spans="1:2" x14ac:dyDescent="0.25">
      <c r="A65">
        <v>29</v>
      </c>
      <c r="B65" s="5">
        <v>2864.7058820000002</v>
      </c>
    </row>
    <row r="66" spans="1:2" x14ac:dyDescent="0.25">
      <c r="A66">
        <v>30</v>
      </c>
      <c r="B66" s="5">
        <v>2970.5882350000002</v>
      </c>
    </row>
    <row r="67" spans="1:2" x14ac:dyDescent="0.25">
      <c r="A67">
        <v>31</v>
      </c>
      <c r="B67" s="5">
        <v>3076.4705880000001</v>
      </c>
    </row>
    <row r="68" spans="1:2" x14ac:dyDescent="0.25">
      <c r="A68">
        <v>32</v>
      </c>
      <c r="B68" s="5">
        <v>3182.3529410000001</v>
      </c>
    </row>
    <row r="69" spans="1:2" x14ac:dyDescent="0.25">
      <c r="A69">
        <v>33</v>
      </c>
      <c r="B69" s="5">
        <v>3288.2352940000001</v>
      </c>
    </row>
    <row r="70" spans="1:2" x14ac:dyDescent="0.25">
      <c r="A70">
        <v>34</v>
      </c>
      <c r="B70" s="5">
        <v>3394.117647</v>
      </c>
    </row>
    <row r="71" spans="1:2" x14ac:dyDescent="0.25">
      <c r="A71">
        <v>35</v>
      </c>
      <c r="B71" s="5">
        <v>3500</v>
      </c>
    </row>
  </sheetData>
  <mergeCells count="3">
    <mergeCell ref="H1:I1"/>
    <mergeCell ref="B2:C2"/>
    <mergeCell ref="J1:X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_MinCost_and_Input">
                <anchor moveWithCells="1" sizeWithCells="1">
                  <from>
                    <xdr:col>5</xdr:col>
                    <xdr:colOff>590550</xdr:colOff>
                    <xdr:row>2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04372-4516-4454-9639-C841703F870E}">
  <sheetPr codeName="Sheet2"/>
  <dimension ref="B3:Y78"/>
  <sheetViews>
    <sheetView topLeftCell="A9" workbookViewId="0">
      <selection activeCell="N56" sqref="N56"/>
    </sheetView>
  </sheetViews>
  <sheetFormatPr defaultRowHeight="15" x14ac:dyDescent="0.25"/>
  <cols>
    <col min="12" max="12" width="12" bestFit="1" customWidth="1"/>
    <col min="15" max="15" width="12" bestFit="1" customWidth="1"/>
    <col min="20" max="20" width="12" bestFit="1" customWidth="1"/>
    <col min="22" max="22" width="12" bestFit="1" customWidth="1"/>
    <col min="24" max="24" width="11.7109375" bestFit="1" customWidth="1"/>
  </cols>
  <sheetData>
    <row r="3" spans="2:25" x14ac:dyDescent="0.25">
      <c r="R3" s="1" t="s">
        <v>38</v>
      </c>
      <c r="S3" s="2">
        <f>H9-H14</f>
        <v>104.08920000000001</v>
      </c>
      <c r="T3" s="1" t="s">
        <v>40</v>
      </c>
      <c r="U3" s="2">
        <f>H10-H15</f>
        <v>10</v>
      </c>
      <c r="V3" s="1" t="s">
        <v>42</v>
      </c>
      <c r="W3" s="2">
        <f>H11-H16</f>
        <v>11.132948999999996</v>
      </c>
      <c r="X3" s="1" t="s">
        <v>43</v>
      </c>
      <c r="Y3" s="2">
        <f>H12-H17</f>
        <v>1.4287490000000003</v>
      </c>
    </row>
    <row r="4" spans="2:25" x14ac:dyDescent="0.25">
      <c r="B4" t="s">
        <v>0</v>
      </c>
      <c r="G4" t="s">
        <v>3</v>
      </c>
      <c r="H4">
        <v>10</v>
      </c>
      <c r="R4" s="3" t="s">
        <v>39</v>
      </c>
      <c r="S4" s="4">
        <f>H14-H4</f>
        <v>5.9108000000000001</v>
      </c>
      <c r="T4" s="3" t="s">
        <v>41</v>
      </c>
      <c r="U4" s="4">
        <f>H15-H5</f>
        <v>100</v>
      </c>
      <c r="V4" s="3" t="s">
        <v>45</v>
      </c>
      <c r="W4" s="4">
        <f>H16-H6</f>
        <v>1.0257000000000005</v>
      </c>
      <c r="X4" s="3" t="s">
        <v>44</v>
      </c>
      <c r="Y4" s="4">
        <f>H17-H7</f>
        <v>19.479900999999998</v>
      </c>
    </row>
    <row r="5" spans="2:25" x14ac:dyDescent="0.25">
      <c r="G5" t="s">
        <v>6</v>
      </c>
      <c r="H5">
        <v>-2101</v>
      </c>
      <c r="K5" t="s">
        <v>13</v>
      </c>
      <c r="L5">
        <f>(H9-H4)*(H10-H5)*(H11-H6)*(H12-H7)</f>
        <v>3076073.3306075837</v>
      </c>
    </row>
    <row r="6" spans="2:25" x14ac:dyDescent="0.25">
      <c r="G6" t="s">
        <v>4</v>
      </c>
      <c r="H6">
        <v>99.317300000000003</v>
      </c>
    </row>
    <row r="7" spans="2:25" x14ac:dyDescent="0.25">
      <c r="G7" t="s">
        <v>5</v>
      </c>
      <c r="H7">
        <v>-16.365400999999999</v>
      </c>
    </row>
    <row r="8" spans="2:25" x14ac:dyDescent="0.25">
      <c r="K8" t="s">
        <v>14</v>
      </c>
    </row>
    <row r="9" spans="2:25" x14ac:dyDescent="0.25">
      <c r="G9" t="s">
        <v>1</v>
      </c>
      <c r="H9">
        <v>120</v>
      </c>
      <c r="J9" t="s">
        <v>15</v>
      </c>
      <c r="K9" t="s">
        <v>16</v>
      </c>
      <c r="L9" t="s">
        <v>17</v>
      </c>
      <c r="M9" t="s">
        <v>18</v>
      </c>
      <c r="N9" t="s">
        <v>19</v>
      </c>
      <c r="O9" t="s">
        <v>20</v>
      </c>
      <c r="P9" t="s">
        <v>21</v>
      </c>
      <c r="U9" s="11"/>
      <c r="V9" s="6" t="s">
        <v>46</v>
      </c>
      <c r="W9" s="6" t="s">
        <v>47</v>
      </c>
    </row>
    <row r="10" spans="2:25" x14ac:dyDescent="0.25">
      <c r="G10" t="s">
        <v>2</v>
      </c>
      <c r="H10">
        <v>-1991</v>
      </c>
      <c r="J10">
        <v>1</v>
      </c>
      <c r="K10">
        <v>10</v>
      </c>
      <c r="L10">
        <v>-2101</v>
      </c>
      <c r="M10">
        <v>99.317300000000003</v>
      </c>
      <c r="N10">
        <v>-16.365400999999999</v>
      </c>
      <c r="O10">
        <v>2176196.2850000001</v>
      </c>
      <c r="P10">
        <v>-50</v>
      </c>
      <c r="S10" t="s">
        <v>22</v>
      </c>
      <c r="T10">
        <f>S3*U3*W3*Y3/L5</f>
        <v>5.3823897815922688E-3</v>
      </c>
      <c r="U10" s="10"/>
      <c r="V10" s="5">
        <f>T10*O10</f>
        <v>11713.136647123058</v>
      </c>
      <c r="W10" s="5">
        <f>T10*P10</f>
        <v>-0.26911948907961342</v>
      </c>
    </row>
    <row r="11" spans="2:25" x14ac:dyDescent="0.25">
      <c r="G11" t="s">
        <v>7</v>
      </c>
      <c r="H11">
        <v>111.475949</v>
      </c>
      <c r="J11">
        <v>2</v>
      </c>
      <c r="K11">
        <v>10</v>
      </c>
      <c r="L11">
        <v>-2101</v>
      </c>
      <c r="M11">
        <v>99.317300000000003</v>
      </c>
      <c r="N11">
        <v>4.5432490000000003</v>
      </c>
      <c r="O11">
        <v>2112627.122</v>
      </c>
      <c r="P11">
        <v>-80</v>
      </c>
      <c r="S11" t="s">
        <v>23</v>
      </c>
      <c r="T11">
        <f>S3*U3*W3*Y4/L5</f>
        <v>7.3384772334979045E-2</v>
      </c>
      <c r="U11" s="10"/>
      <c r="V11" s="5">
        <f t="shared" ref="V11:V25" si="0">T11*O11</f>
        <v>155034.66037667199</v>
      </c>
      <c r="W11" s="5">
        <f t="shared" ref="W11:W25" si="1">T11*P11</f>
        <v>-5.8707817867983234</v>
      </c>
    </row>
    <row r="12" spans="2:25" x14ac:dyDescent="0.25">
      <c r="G12" t="s">
        <v>8</v>
      </c>
      <c r="H12">
        <v>4.5432490000000003</v>
      </c>
      <c r="J12">
        <v>3</v>
      </c>
      <c r="K12">
        <v>10</v>
      </c>
      <c r="L12">
        <v>-2101</v>
      </c>
      <c r="M12">
        <v>111.475949</v>
      </c>
      <c r="N12">
        <v>-16.365400999999999</v>
      </c>
      <c r="O12">
        <v>2146145.733</v>
      </c>
      <c r="P12">
        <v>-60</v>
      </c>
      <c r="S12" t="s">
        <v>24</v>
      </c>
      <c r="T12">
        <f>S3*U3*W4*Y3/L5</f>
        <v>4.958899208986939E-4</v>
      </c>
      <c r="U12" s="10"/>
      <c r="V12" s="5">
        <f t="shared" si="0"/>
        <v>1064.2520377744395</v>
      </c>
      <c r="W12" s="5">
        <f t="shared" si="1"/>
        <v>-2.9753395253921636E-2</v>
      </c>
    </row>
    <row r="13" spans="2:25" x14ac:dyDescent="0.25">
      <c r="J13">
        <v>4</v>
      </c>
      <c r="K13">
        <v>10</v>
      </c>
      <c r="L13">
        <v>-2101</v>
      </c>
      <c r="M13">
        <v>111.475949</v>
      </c>
      <c r="N13">
        <v>4.5432490000000003</v>
      </c>
      <c r="O13">
        <v>2081805.273</v>
      </c>
      <c r="P13">
        <v>-80</v>
      </c>
      <c r="S13" t="s">
        <v>25</v>
      </c>
      <c r="T13">
        <f>S3*U3*W4*Y4/L5</f>
        <v>6.7610801939349645E-3</v>
      </c>
      <c r="U13" s="10"/>
      <c r="V13" s="5">
        <f t="shared" si="0"/>
        <v>14075.252398909672</v>
      </c>
      <c r="W13" s="5">
        <f t="shared" si="1"/>
        <v>-0.54088641551479721</v>
      </c>
    </row>
    <row r="14" spans="2:25" x14ac:dyDescent="0.25">
      <c r="G14" t="s">
        <v>9</v>
      </c>
      <c r="H14">
        <v>15.9108</v>
      </c>
      <c r="J14">
        <v>5</v>
      </c>
      <c r="K14">
        <v>10</v>
      </c>
      <c r="L14">
        <v>-1991</v>
      </c>
      <c r="M14">
        <v>99.317300000000003</v>
      </c>
      <c r="N14">
        <v>-16.365400999999999</v>
      </c>
      <c r="O14">
        <v>2167209.8939999999</v>
      </c>
      <c r="P14">
        <v>-70</v>
      </c>
      <c r="S14" t="s">
        <v>26</v>
      </c>
      <c r="T14">
        <f>S3*U4*W3*Y3/L5</f>
        <v>5.3823897815922672E-2</v>
      </c>
      <c r="U14" s="10"/>
      <c r="V14" s="5">
        <f t="shared" si="0"/>
        <v>116647.6838803126</v>
      </c>
      <c r="W14" s="5">
        <f t="shared" si="1"/>
        <v>-3.7676728471145871</v>
      </c>
    </row>
    <row r="15" spans="2:25" x14ac:dyDescent="0.25">
      <c r="G15" t="s">
        <v>10</v>
      </c>
      <c r="H15">
        <v>-2001</v>
      </c>
      <c r="J15">
        <v>6</v>
      </c>
      <c r="K15">
        <v>10</v>
      </c>
      <c r="L15">
        <v>-1991</v>
      </c>
      <c r="M15">
        <v>99.317300000000003</v>
      </c>
      <c r="N15">
        <v>4.5432490000000003</v>
      </c>
      <c r="O15">
        <v>2014424.9439999999</v>
      </c>
      <c r="P15">
        <v>-80</v>
      </c>
      <c r="S15" t="s">
        <v>27</v>
      </c>
      <c r="T15">
        <f>S3*U4*W3*Y4/L5</f>
        <v>0.73384772334979043</v>
      </c>
      <c r="U15" s="10"/>
      <c r="V15" s="5">
        <f t="shared" si="0"/>
        <v>1478281.159013429</v>
      </c>
      <c r="W15" s="5">
        <f t="shared" si="1"/>
        <v>-58.707817867983238</v>
      </c>
    </row>
    <row r="16" spans="2:25" x14ac:dyDescent="0.25">
      <c r="G16" t="s">
        <v>11</v>
      </c>
      <c r="H16">
        <v>100.343</v>
      </c>
      <c r="J16">
        <v>7</v>
      </c>
      <c r="K16">
        <v>10</v>
      </c>
      <c r="L16">
        <v>-1991</v>
      </c>
      <c r="M16">
        <v>111.475949</v>
      </c>
      <c r="N16">
        <v>-16.365400999999999</v>
      </c>
      <c r="O16">
        <v>2137032.9419999998</v>
      </c>
      <c r="P16">
        <v>-80</v>
      </c>
      <c r="S16" t="s">
        <v>28</v>
      </c>
      <c r="T16">
        <f>S3*U4*W4*Y3/L5</f>
        <v>4.958899208986939E-3</v>
      </c>
      <c r="U16" s="10"/>
      <c r="V16" s="5">
        <f t="shared" si="0"/>
        <v>10597.33096566283</v>
      </c>
      <c r="W16" s="5">
        <f t="shared" si="1"/>
        <v>-0.3967119367189551</v>
      </c>
    </row>
    <row r="17" spans="7:23" x14ac:dyDescent="0.25">
      <c r="G17" t="s">
        <v>12</v>
      </c>
      <c r="H17">
        <v>3.1145</v>
      </c>
      <c r="J17">
        <v>8</v>
      </c>
      <c r="K17">
        <v>10</v>
      </c>
      <c r="L17">
        <v>-1991</v>
      </c>
      <c r="M17">
        <v>111.475949</v>
      </c>
      <c r="N17">
        <v>4.5432490000000003</v>
      </c>
      <c r="O17">
        <v>1982126.334</v>
      </c>
      <c r="P17">
        <v>-80</v>
      </c>
      <c r="S17" t="s">
        <v>29</v>
      </c>
      <c r="T17">
        <f>S3*U4*W4*Y4/L5</f>
        <v>6.7610801939349638E-2</v>
      </c>
      <c r="U17" s="10"/>
      <c r="V17" s="5">
        <f t="shared" si="0"/>
        <v>134013.15098684319</v>
      </c>
      <c r="W17" s="5">
        <f t="shared" si="1"/>
        <v>-5.4088641551479713</v>
      </c>
    </row>
    <row r="18" spans="7:23" x14ac:dyDescent="0.25">
      <c r="J18">
        <v>9</v>
      </c>
      <c r="K18">
        <v>120</v>
      </c>
      <c r="L18">
        <v>-2101</v>
      </c>
      <c r="M18">
        <v>99.317300000000003</v>
      </c>
      <c r="N18">
        <v>-16.365400999999999</v>
      </c>
      <c r="O18">
        <v>2156071.1740000001</v>
      </c>
      <c r="P18">
        <v>-60</v>
      </c>
      <c r="S18" t="s">
        <v>30</v>
      </c>
      <c r="T18">
        <f>S4*U3*W3*Y3/L5</f>
        <v>3.0564390466095983E-4</v>
      </c>
      <c r="U18" s="10"/>
      <c r="V18" s="5">
        <f t="shared" si="0"/>
        <v>658.99001234829973</v>
      </c>
      <c r="W18" s="5">
        <f t="shared" si="1"/>
        <v>-1.8338634279657588E-2</v>
      </c>
    </row>
    <row r="19" spans="7:23" x14ac:dyDescent="0.25">
      <c r="J19">
        <v>10</v>
      </c>
      <c r="K19">
        <v>120</v>
      </c>
      <c r="L19">
        <v>-2101</v>
      </c>
      <c r="M19">
        <v>99.317300000000003</v>
      </c>
      <c r="N19">
        <v>4.5432490000000003</v>
      </c>
      <c r="O19">
        <v>2091897.8259999999</v>
      </c>
      <c r="P19">
        <v>-80</v>
      </c>
      <c r="S19" t="s">
        <v>31</v>
      </c>
      <c r="T19">
        <f>S4*U3*W3*Y4/L5</f>
        <v>4.1672211172493799E-3</v>
      </c>
      <c r="U19" s="10"/>
      <c r="V19" s="5">
        <f t="shared" si="0"/>
        <v>8717.4007956352689</v>
      </c>
      <c r="W19" s="5">
        <f t="shared" si="1"/>
        <v>-0.33337768937995038</v>
      </c>
    </row>
    <row r="20" spans="7:23" x14ac:dyDescent="0.25">
      <c r="J20">
        <v>11</v>
      </c>
      <c r="K20">
        <v>120</v>
      </c>
      <c r="L20">
        <v>-2101</v>
      </c>
      <c r="M20">
        <v>111.475949</v>
      </c>
      <c r="N20">
        <v>-16.365400999999999</v>
      </c>
      <c r="O20">
        <v>2132877.5019999999</v>
      </c>
      <c r="P20">
        <v>-70</v>
      </c>
      <c r="S20" t="s">
        <v>32</v>
      </c>
      <c r="T20">
        <f>S4*U3*W4*Y3/L5</f>
        <v>2.8159560688793845E-5</v>
      </c>
      <c r="U20" s="10"/>
      <c r="V20" s="5">
        <f t="shared" si="0"/>
        <v>60.060893459332014</v>
      </c>
      <c r="W20" s="5">
        <f t="shared" si="1"/>
        <v>-1.9711692482155692E-3</v>
      </c>
    </row>
    <row r="21" spans="7:23" x14ac:dyDescent="0.25">
      <c r="J21">
        <v>12</v>
      </c>
      <c r="K21">
        <v>120</v>
      </c>
      <c r="L21">
        <v>-2101</v>
      </c>
      <c r="M21">
        <v>111.475949</v>
      </c>
      <c r="N21">
        <v>4.5432490000000003</v>
      </c>
      <c r="O21">
        <v>2068128.639</v>
      </c>
      <c r="P21">
        <v>-90</v>
      </c>
      <c r="S21" t="s">
        <v>33</v>
      </c>
      <c r="T21">
        <f>S4*U3*W4*Y4/L5</f>
        <v>3.8393409508681771E-4</v>
      </c>
      <c r="U21" s="10"/>
      <c r="V21" s="5">
        <f t="shared" si="0"/>
        <v>794.02509753759682</v>
      </c>
      <c r="W21" s="5">
        <f t="shared" si="1"/>
        <v>-3.4554068557813594E-2</v>
      </c>
    </row>
    <row r="22" spans="7:23" x14ac:dyDescent="0.25">
      <c r="J22">
        <v>13</v>
      </c>
      <c r="K22">
        <v>120</v>
      </c>
      <c r="L22">
        <v>-1991</v>
      </c>
      <c r="M22">
        <v>99.317300000000003</v>
      </c>
      <c r="N22">
        <v>-16.365400999999999</v>
      </c>
      <c r="O22">
        <v>2147000.58</v>
      </c>
      <c r="P22">
        <v>-80</v>
      </c>
      <c r="S22" t="s">
        <v>34</v>
      </c>
      <c r="T22">
        <f>S4*U4*W3*Y3/L5</f>
        <v>3.0564390466095983E-3</v>
      </c>
      <c r="U22" s="10"/>
      <c r="V22" s="5">
        <f t="shared" si="0"/>
        <v>6562.176405805455</v>
      </c>
      <c r="W22" s="5">
        <f t="shared" si="1"/>
        <v>-0.24451512372876788</v>
      </c>
    </row>
    <row r="23" spans="7:23" x14ac:dyDescent="0.25">
      <c r="J23">
        <v>14</v>
      </c>
      <c r="K23">
        <v>120</v>
      </c>
      <c r="L23">
        <v>-1991</v>
      </c>
      <c r="M23">
        <v>99.317300000000003</v>
      </c>
      <c r="N23">
        <v>4.5432490000000003</v>
      </c>
      <c r="O23">
        <v>1992712.892</v>
      </c>
      <c r="P23">
        <v>-80</v>
      </c>
      <c r="S23" t="s">
        <v>35</v>
      </c>
      <c r="T23">
        <f>S4*U4*W3*Y4/L5</f>
        <v>4.1672211172493798E-2</v>
      </c>
      <c r="U23" s="10"/>
      <c r="V23" s="5">
        <f t="shared" si="0"/>
        <v>83040.752441574819</v>
      </c>
      <c r="W23" s="5">
        <f t="shared" si="1"/>
        <v>-3.333776893799504</v>
      </c>
    </row>
    <row r="24" spans="7:23" x14ac:dyDescent="0.25">
      <c r="J24">
        <v>15</v>
      </c>
      <c r="K24">
        <v>120</v>
      </c>
      <c r="L24">
        <v>-1991</v>
      </c>
      <c r="M24">
        <v>111.475949</v>
      </c>
      <c r="N24">
        <v>-16.365400999999999</v>
      </c>
      <c r="O24">
        <v>2123707.8640000001</v>
      </c>
      <c r="P24">
        <v>-80</v>
      </c>
      <c r="S24" t="s">
        <v>36</v>
      </c>
      <c r="T24">
        <f>S4*U4*W4*Y3/L5</f>
        <v>2.8159560688793844E-4</v>
      </c>
      <c r="U24" s="10"/>
      <c r="V24" s="5">
        <f t="shared" si="0"/>
        <v>598.02680481576749</v>
      </c>
      <c r="W24" s="5">
        <f t="shared" si="1"/>
        <v>-2.2527648551035076E-2</v>
      </c>
    </row>
    <row r="25" spans="7:23" x14ac:dyDescent="0.25">
      <c r="J25">
        <v>16</v>
      </c>
      <c r="K25">
        <v>120</v>
      </c>
      <c r="L25">
        <v>-1991</v>
      </c>
      <c r="M25">
        <v>111.475949</v>
      </c>
      <c r="N25">
        <v>4.5432490000000003</v>
      </c>
      <c r="O25">
        <v>1967784.564</v>
      </c>
      <c r="P25">
        <v>-90</v>
      </c>
      <c r="S25" t="s">
        <v>37</v>
      </c>
      <c r="T25">
        <f>S4*U4*W4*Y4/L5</f>
        <v>3.8393409508681773E-3</v>
      </c>
      <c r="U25" s="10"/>
      <c r="V25" s="8">
        <f t="shared" si="0"/>
        <v>7554.9958590514816</v>
      </c>
      <c r="W25" s="8">
        <f t="shared" si="1"/>
        <v>-0.34554068557813594</v>
      </c>
    </row>
    <row r="26" spans="7:23" x14ac:dyDescent="0.25">
      <c r="U26" s="12"/>
      <c r="V26" s="13"/>
      <c r="W26" s="7"/>
    </row>
    <row r="27" spans="7:23" x14ac:dyDescent="0.25">
      <c r="P27">
        <f>AVERAGE(P10:P25)</f>
        <v>-75.625</v>
      </c>
      <c r="U27" s="12" t="s">
        <v>48</v>
      </c>
      <c r="V27" s="9">
        <f>SUM(V10:V25)</f>
        <v>2029413.0546169549</v>
      </c>
      <c r="W27" s="9">
        <f>SUM(W10:W25)</f>
        <v>-79.326209806734482</v>
      </c>
    </row>
    <row r="29" spans="7:23" x14ac:dyDescent="0.25">
      <c r="M29" t="s">
        <v>86</v>
      </c>
      <c r="N29">
        <f>MAX(O10:O25)</f>
        <v>2176196.2850000001</v>
      </c>
    </row>
    <row r="30" spans="7:23" x14ac:dyDescent="0.25">
      <c r="M30" t="s">
        <v>87</v>
      </c>
      <c r="N30">
        <f>MIN(O10:O25)</f>
        <v>1967784.564</v>
      </c>
    </row>
    <row r="32" spans="7:23" x14ac:dyDescent="0.25">
      <c r="V32" t="s">
        <v>46</v>
      </c>
      <c r="W32" t="s">
        <v>47</v>
      </c>
    </row>
    <row r="33" spans="2:23" x14ac:dyDescent="0.25">
      <c r="N33">
        <f>(V27-N30)/(N29-N30)</f>
        <v>0.29570549257618206</v>
      </c>
      <c r="S33" t="s">
        <v>22</v>
      </c>
      <c r="T33">
        <f>S4*U4*W4*Y4/L5</f>
        <v>3.8393409508681773E-3</v>
      </c>
      <c r="V33">
        <f>T33*O10</f>
        <v>8355.1595141276957</v>
      </c>
      <c r="W33">
        <f>T33*P10</f>
        <v>-0.19196704754340888</v>
      </c>
    </row>
    <row r="34" spans="2:23" x14ac:dyDescent="0.25">
      <c r="S34" t="s">
        <v>23</v>
      </c>
      <c r="T34">
        <f>S4*U4*W4*Y3/L5</f>
        <v>2.8159560688793844E-4</v>
      </c>
      <c r="V34">
        <f t="shared" ref="V34:V48" si="2">T34*O11</f>
        <v>594.90651654750877</v>
      </c>
      <c r="W34">
        <f t="shared" ref="W34:W48" si="3">T34*P11</f>
        <v>-2.2527648551035076E-2</v>
      </c>
    </row>
    <row r="35" spans="2:23" x14ac:dyDescent="0.25">
      <c r="N35">
        <f>(V50-N30)/(N29-N30)</f>
        <v>0.7771915188753129</v>
      </c>
      <c r="S35" t="s">
        <v>24</v>
      </c>
      <c r="T35">
        <f>S4*U4*W3*Y4/L5</f>
        <v>4.1672211172493798E-2</v>
      </c>
      <c r="V35">
        <f t="shared" si="2"/>
        <v>89434.638192522485</v>
      </c>
      <c r="W35">
        <f t="shared" si="3"/>
        <v>-2.500332670349628</v>
      </c>
    </row>
    <row r="36" spans="2:23" x14ac:dyDescent="0.25">
      <c r="S36" t="s">
        <v>25</v>
      </c>
      <c r="T36">
        <f>S4*U4*W3*Y3/L5</f>
        <v>3.0564390466095983E-3</v>
      </c>
      <c r="V36">
        <f t="shared" si="2"/>
        <v>6362.9109238349547</v>
      </c>
      <c r="W36">
        <f t="shared" si="3"/>
        <v>-0.24451512372876788</v>
      </c>
    </row>
    <row r="37" spans="2:23" x14ac:dyDescent="0.25">
      <c r="S37" t="s">
        <v>26</v>
      </c>
      <c r="T37">
        <f>S4*U3*W4*Y4/L5</f>
        <v>3.8393409508681771E-4</v>
      </c>
      <c r="V37">
        <f t="shared" si="2"/>
        <v>832.06576951608804</v>
      </c>
      <c r="W37">
        <f t="shared" si="3"/>
        <v>-2.6875386656077239E-2</v>
      </c>
    </row>
    <row r="38" spans="2:23" x14ac:dyDescent="0.25">
      <c r="S38" t="s">
        <v>27</v>
      </c>
      <c r="T38">
        <f>S4*U3*W4*Y3/L5</f>
        <v>2.8159560688793845E-5</v>
      </c>
      <c r="V38">
        <f t="shared" si="2"/>
        <v>56.725321463588138</v>
      </c>
      <c r="W38">
        <f t="shared" si="3"/>
        <v>-2.2527648551035075E-3</v>
      </c>
    </row>
    <row r="39" spans="2:23" x14ac:dyDescent="0.25">
      <c r="S39" t="s">
        <v>28</v>
      </c>
      <c r="T39">
        <f>S4*U3*W3*Y4/L5</f>
        <v>4.1672211172493799E-3</v>
      </c>
      <c r="V39">
        <f t="shared" si="2"/>
        <v>8905.4888041599679</v>
      </c>
      <c r="W39">
        <f t="shared" si="3"/>
        <v>-0.33337768937995038</v>
      </c>
    </row>
    <row r="40" spans="2:23" x14ac:dyDescent="0.25">
      <c r="S40" t="s">
        <v>29</v>
      </c>
      <c r="T40">
        <f>S4*U3*W3*Y3/L5</f>
        <v>3.0564390466095983E-4</v>
      </c>
      <c r="V40">
        <f t="shared" si="2"/>
        <v>605.82483225507383</v>
      </c>
      <c r="W40">
        <f t="shared" si="3"/>
        <v>-2.4451512372876787E-2</v>
      </c>
    </row>
    <row r="41" spans="2:23" x14ac:dyDescent="0.25">
      <c r="S41" t="s">
        <v>30</v>
      </c>
      <c r="T41">
        <f>S3*U4*W4*Y4/L5</f>
        <v>6.7610801939349638E-2</v>
      </c>
      <c r="V41">
        <f t="shared" si="2"/>
        <v>145773.70111245505</v>
      </c>
      <c r="W41">
        <f t="shared" si="3"/>
        <v>-4.0566481163609787</v>
      </c>
    </row>
    <row r="42" spans="2:23" x14ac:dyDescent="0.25">
      <c r="B42">
        <v>0</v>
      </c>
      <c r="C42">
        <v>-2001</v>
      </c>
      <c r="S42" t="s">
        <v>31</v>
      </c>
      <c r="T42">
        <f>S3*U4*W4*Y3/L5</f>
        <v>4.958899208986939E-3</v>
      </c>
      <c r="V42">
        <f t="shared" si="2"/>
        <v>10373.510474632896</v>
      </c>
      <c r="W42">
        <f t="shared" si="3"/>
        <v>-0.3967119367189551</v>
      </c>
    </row>
    <row r="43" spans="2:23" x14ac:dyDescent="0.25">
      <c r="B43">
        <v>15.910842000000001</v>
      </c>
      <c r="C43">
        <v>-2001</v>
      </c>
      <c r="S43" t="s">
        <v>32</v>
      </c>
      <c r="T43">
        <f>S3*U4*W3*Y4/L5</f>
        <v>0.73384772334979043</v>
      </c>
      <c r="V43">
        <f t="shared" si="2"/>
        <v>1565207.2990266879</v>
      </c>
      <c r="W43">
        <f t="shared" si="3"/>
        <v>-51.369340634485333</v>
      </c>
    </row>
    <row r="44" spans="2:23" x14ac:dyDescent="0.25">
      <c r="B44">
        <v>31.876287161823601</v>
      </c>
      <c r="C44">
        <v>-2000.50445898463</v>
      </c>
      <c r="S44" t="s">
        <v>33</v>
      </c>
      <c r="T44">
        <f>S3*U4*W3*Y3/L5</f>
        <v>5.3823897815922672E-2</v>
      </c>
      <c r="V44">
        <f t="shared" si="2"/>
        <v>111314.74453571923</v>
      </c>
      <c r="W44">
        <f t="shared" si="3"/>
        <v>-4.8441508034330401</v>
      </c>
    </row>
    <row r="45" spans="2:23" x14ac:dyDescent="0.25">
      <c r="B45">
        <v>47.924365453832102</v>
      </c>
      <c r="C45">
        <v>-1999.52128414404</v>
      </c>
      <c r="S45" t="s">
        <v>34</v>
      </c>
      <c r="T45">
        <f>S3*U3*W4*Y4/L5</f>
        <v>6.7610801939349645E-3</v>
      </c>
      <c r="V45">
        <f t="shared" si="2"/>
        <v>14516.043097804883</v>
      </c>
      <c r="W45">
        <f t="shared" si="3"/>
        <v>-0.54088641551479721</v>
      </c>
    </row>
    <row r="46" spans="2:23" x14ac:dyDescent="0.25">
      <c r="B46">
        <v>64.014226763582201</v>
      </c>
      <c r="C46">
        <v>-1998.0400813955901</v>
      </c>
      <c r="S46" t="s">
        <v>35</v>
      </c>
      <c r="T46">
        <f>S3*U3*W4*Y3/L5</f>
        <v>4.958899208986939E-4</v>
      </c>
      <c r="V46">
        <f t="shared" si="2"/>
        <v>988.1662383876876</v>
      </c>
      <c r="W46">
        <f t="shared" si="3"/>
        <v>-3.9671193671895512E-2</v>
      </c>
    </row>
    <row r="47" spans="2:23" x14ac:dyDescent="0.25">
      <c r="B47">
        <v>80.148047959194997</v>
      </c>
      <c r="C47">
        <v>-1996.06122479548</v>
      </c>
      <c r="S47" t="s">
        <v>36</v>
      </c>
      <c r="T47">
        <f>S3*U3*W3*Y4/L5</f>
        <v>7.3384772334979045E-2</v>
      </c>
      <c r="V47">
        <f t="shared" si="2"/>
        <v>155847.81810564463</v>
      </c>
      <c r="W47">
        <f t="shared" si="3"/>
        <v>-5.8707817867983234</v>
      </c>
    </row>
    <row r="48" spans="2:23" x14ac:dyDescent="0.25">
      <c r="B48">
        <v>96.325829040670698</v>
      </c>
      <c r="C48">
        <v>-1993.5847143436999</v>
      </c>
      <c r="S48" t="s">
        <v>37</v>
      </c>
      <c r="T48">
        <f>S3*U3*W3*Y3/L5</f>
        <v>5.3823897815922688E-3</v>
      </c>
      <c r="V48">
        <f t="shared" si="2"/>
        <v>10591.383529648598</v>
      </c>
      <c r="W48">
        <f t="shared" si="3"/>
        <v>-0.48441508034330422</v>
      </c>
    </row>
    <row r="49" spans="2:23" x14ac:dyDescent="0.25">
      <c r="B49">
        <v>112.547570008009</v>
      </c>
      <c r="C49">
        <v>-1990.61055004026</v>
      </c>
    </row>
    <row r="50" spans="2:23" x14ac:dyDescent="0.25">
      <c r="B50">
        <v>128.81327086120999</v>
      </c>
      <c r="C50">
        <v>-1987.13873188515</v>
      </c>
      <c r="U50" t="s">
        <v>48</v>
      </c>
      <c r="V50">
        <f>SUM(V33:V48)</f>
        <v>2129760.3859954081</v>
      </c>
      <c r="W50">
        <f>SUM(W33:W48)</f>
        <v>-70.948905810763463</v>
      </c>
    </row>
    <row r="51" spans="2:23" x14ac:dyDescent="0.25">
      <c r="B51">
        <v>145.12461851489601</v>
      </c>
      <c r="C51">
        <v>-1983.1695632186199</v>
      </c>
    </row>
    <row r="52" spans="2:23" x14ac:dyDescent="0.25">
      <c r="B52">
        <v>161.478915477627</v>
      </c>
      <c r="C52">
        <v>-1978.7025646188399</v>
      </c>
    </row>
    <row r="53" spans="2:23" x14ac:dyDescent="0.25">
      <c r="B53">
        <v>177.879650509594</v>
      </c>
      <c r="C53">
        <v>-1973.7383618603899</v>
      </c>
    </row>
    <row r="54" spans="2:23" x14ac:dyDescent="0.25">
      <c r="B54">
        <v>194.328021222475</v>
      </c>
      <c r="C54">
        <v>-1968.2771814068701</v>
      </c>
    </row>
    <row r="55" spans="2:23" x14ac:dyDescent="0.25">
      <c r="B55">
        <v>210.82474717936799</v>
      </c>
      <c r="C55">
        <v>-1962.3191621998301</v>
      </c>
    </row>
    <row r="56" spans="2:23" x14ac:dyDescent="0.25">
      <c r="B56">
        <v>227.37470479767401</v>
      </c>
      <c r="C56">
        <v>-1955.8653030120499</v>
      </c>
    </row>
    <row r="57" spans="2:23" x14ac:dyDescent="0.25">
      <c r="B57">
        <v>243.98043895126901</v>
      </c>
      <c r="C57">
        <v>-1948.9161649192899</v>
      </c>
    </row>
    <row r="58" spans="2:23" x14ac:dyDescent="0.25">
      <c r="B58">
        <v>260.64283791576099</v>
      </c>
      <c r="C58">
        <v>-1941.4719502425301</v>
      </c>
    </row>
    <row r="59" spans="2:23" x14ac:dyDescent="0.25">
      <c r="B59">
        <v>277.36178914161798</v>
      </c>
      <c r="C59">
        <v>-1933.5326331604599</v>
      </c>
    </row>
    <row r="60" spans="2:23" x14ac:dyDescent="0.25">
      <c r="B60">
        <v>294.14553419013498</v>
      </c>
      <c r="C60">
        <v>-1925.1002485087599</v>
      </c>
    </row>
    <row r="61" spans="2:23" x14ac:dyDescent="0.25">
      <c r="B61">
        <v>310.99415149290502</v>
      </c>
      <c r="C61">
        <v>-1916.1748170667699</v>
      </c>
    </row>
    <row r="62" spans="2:23" x14ac:dyDescent="0.25">
      <c r="B62">
        <v>327.90800249262298</v>
      </c>
      <c r="C62">
        <v>-1906.7564349414099</v>
      </c>
    </row>
    <row r="63" spans="2:23" x14ac:dyDescent="0.25">
      <c r="B63">
        <v>344.89174157096102</v>
      </c>
      <c r="C63">
        <v>-1896.8463910839</v>
      </c>
    </row>
    <row r="64" spans="2:23" x14ac:dyDescent="0.25">
      <c r="B64">
        <v>361.94705034491</v>
      </c>
      <c r="C64">
        <v>-1886.44517480948</v>
      </c>
    </row>
    <row r="65" spans="2:3" x14ac:dyDescent="0.25">
      <c r="B65">
        <v>379.04659689266299</v>
      </c>
      <c r="C65">
        <v>-1875.54635384226</v>
      </c>
    </row>
    <row r="66" spans="2:3" x14ac:dyDescent="0.25">
      <c r="B66">
        <v>396.22052538746499</v>
      </c>
      <c r="C66">
        <v>-1864.15720708703</v>
      </c>
    </row>
    <row r="67" spans="2:3" x14ac:dyDescent="0.25">
      <c r="B67">
        <v>413.50134945546102</v>
      </c>
      <c r="C67">
        <v>-1852.29023610945</v>
      </c>
    </row>
    <row r="68" spans="2:3" x14ac:dyDescent="0.25">
      <c r="B68">
        <v>430.88566349827403</v>
      </c>
      <c r="C68">
        <v>-1839.94388506522</v>
      </c>
    </row>
    <row r="69" spans="2:3" x14ac:dyDescent="0.25">
      <c r="B69">
        <v>448.37084793982802</v>
      </c>
      <c r="C69">
        <v>-1827.11699828163</v>
      </c>
    </row>
    <row r="70" spans="2:3" x14ac:dyDescent="0.25">
      <c r="B70">
        <v>465.95511457653703</v>
      </c>
      <c r="C70">
        <v>-1813.8088070695701</v>
      </c>
    </row>
    <row r="71" spans="2:3" x14ac:dyDescent="0.25">
      <c r="B71">
        <v>483.64910850682702</v>
      </c>
      <c r="C71">
        <v>-1800.0241320878099</v>
      </c>
    </row>
    <row r="72" spans="2:3" x14ac:dyDescent="0.25">
      <c r="B72">
        <v>501.40901400705701</v>
      </c>
      <c r="C72">
        <v>-1785.74668821091</v>
      </c>
    </row>
    <row r="73" spans="2:3" x14ac:dyDescent="0.25">
      <c r="B73">
        <v>519.22562922289501</v>
      </c>
      <c r="C73">
        <v>-1770.97417806719</v>
      </c>
    </row>
    <row r="74" spans="2:3" x14ac:dyDescent="0.25">
      <c r="B74">
        <v>537.10576728360502</v>
      </c>
      <c r="C74">
        <v>-1755.70826737123</v>
      </c>
    </row>
    <row r="75" spans="2:3" x14ac:dyDescent="0.25">
      <c r="B75">
        <v>555.08610979094203</v>
      </c>
      <c r="C75">
        <v>-1739.9615327608701</v>
      </c>
    </row>
    <row r="76" spans="2:3" x14ac:dyDescent="0.25">
      <c r="B76">
        <v>573.16697219434297</v>
      </c>
      <c r="C76">
        <v>-1723.73411045692</v>
      </c>
    </row>
    <row r="77" spans="2:3" x14ac:dyDescent="0.25">
      <c r="B77">
        <v>591.34872676899204</v>
      </c>
      <c r="C77">
        <v>-1707.0261618734201</v>
      </c>
    </row>
    <row r="78" spans="2:3" x14ac:dyDescent="0.25">
      <c r="B78">
        <v>609.57826700865701</v>
      </c>
      <c r="C78">
        <v>-1689.8212643772999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Interp_Trial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Reese Robinson</dc:creator>
  <cp:lastModifiedBy>Reese Robinson</cp:lastModifiedBy>
  <dcterms:created xsi:type="dcterms:W3CDTF">2018-04-20T05:00:07Z</dcterms:created>
  <dcterms:modified xsi:type="dcterms:W3CDTF">2018-04-21T15:57:13Z</dcterms:modified>
</cp:coreProperties>
</file>